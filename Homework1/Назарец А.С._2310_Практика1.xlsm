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8800" windowHeight="1233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O15" i="1" s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H15" i="1"/>
  <c r="I15" i="1"/>
  <c r="J15" i="1"/>
  <c r="K15" i="1"/>
  <c r="L15" i="1"/>
  <c r="M15" i="1"/>
  <c r="N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<sst xmlns="http://schemas.openxmlformats.org/spreadsheetml/2006/main" count="12" uniqueCount="11">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</sst>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9.0000000000000011E-3</c:v>
                </c:pt>
                <c:pt idx="4">
                  <c:v>1.2E-2</c:v>
                </c:pt>
                <c:pt idx="5">
                  <c:v>1.4999999999999999E-2</c:v>
                </c:pt>
                <c:pt idx="6">
                  <c:v>1.7999999999999999E-2</c:v>
                </c:pt>
                <c:pt idx="7">
                  <c:v>2.0999999999999998E-2</c:v>
                </c:pt>
                <c:pt idx="8">
                  <c:v>2.3999999999999997E-2</c:v>
                </c:pt>
                <c:pt idx="9">
                  <c:v>2.6999999999999996E-2</c:v>
                </c:pt>
                <c:pt idx="10">
                  <c:v>2.9999999999999995E-2</c:v>
                </c:pt>
                <c:pt idx="11">
                  <c:v>3.2999999999999995E-2</c:v>
                </c:pt>
                <c:pt idx="12">
                  <c:v>3.5999999999999997E-2</c:v>
                </c:pt>
                <c:pt idx="13">
                  <c:v>3.9E-2</c:v>
                </c:pt>
                <c:pt idx="14">
                  <c:v>4.2000000000000003E-2</c:v>
                </c:pt>
                <c:pt idx="15">
                  <c:v>4.5000000000000005E-2</c:v>
                </c:pt>
                <c:pt idx="16">
                  <c:v>4.8000000000000008E-2</c:v>
                </c:pt>
                <c:pt idx="17">
                  <c:v>5.1000000000000011E-2</c:v>
                </c:pt>
                <c:pt idx="18">
                  <c:v>5.4000000000000013E-2</c:v>
                </c:pt>
                <c:pt idx="19">
                  <c:v>5.7000000000000016E-2</c:v>
                </c:pt>
                <c:pt idx="20">
                  <c:v>6.0000000000000019E-2</c:v>
                </c:pt>
                <c:pt idx="21">
                  <c:v>6.3000000000000014E-2</c:v>
                </c:pt>
                <c:pt idx="22">
                  <c:v>6.6000000000000017E-2</c:v>
                </c:pt>
                <c:pt idx="23">
                  <c:v>6.900000000000002E-2</c:v>
                </c:pt>
                <c:pt idx="24">
                  <c:v>7.2000000000000022E-2</c:v>
                </c:pt>
                <c:pt idx="25">
                  <c:v>7.5000000000000025E-2</c:v>
                </c:pt>
                <c:pt idx="26">
                  <c:v>7.8000000000000028E-2</c:v>
                </c:pt>
                <c:pt idx="27">
                  <c:v>8.100000000000003E-2</c:v>
                </c:pt>
                <c:pt idx="28">
                  <c:v>8.4000000000000033E-2</c:v>
                </c:pt>
                <c:pt idx="29">
                  <c:v>8.7000000000000036E-2</c:v>
                </c:pt>
                <c:pt idx="30">
                  <c:v>9.0000000000000038E-2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282.66377172728278</c:v>
                </c:pt>
                <c:pt idx="2">
                  <c:v>265.32754345456556</c:v>
                </c:pt>
                <c:pt idx="3">
                  <c:v>248.49776479269764</c:v>
                </c:pt>
                <c:pt idx="4">
                  <c:v>231.66798613082975</c:v>
                </c:pt>
                <c:pt idx="5">
                  <c:v>215.82169488848717</c:v>
                </c:pt>
                <c:pt idx="6">
                  <c:v>199.97540364614463</c:v>
                </c:pt>
                <c:pt idx="7">
                  <c:v>185.53348681229556</c:v>
                </c:pt>
                <c:pt idx="8">
                  <c:v>171.0915699784465</c:v>
                </c:pt>
                <c:pt idx="9">
                  <c:v>158.39696417128559</c:v>
                </c:pt>
                <c:pt idx="10">
                  <c:v>145.70235836412468</c:v>
                </c:pt>
                <c:pt idx="11">
                  <c:v>135.00473094993319</c:v>
                </c:pt>
                <c:pt idx="12">
                  <c:v>124.30710353574172</c:v>
                </c:pt>
                <c:pt idx="13">
                  <c:v>115.75466120528034</c:v>
                </c:pt>
                <c:pt idx="14">
                  <c:v>107.20221887481898</c:v>
                </c:pt>
                <c:pt idx="15">
                  <c:v>100.84040238417727</c:v>
                </c:pt>
                <c:pt idx="16">
                  <c:v>94.478585893535552</c:v>
                </c:pt>
                <c:pt idx="17">
                  <c:v>90.254685133699155</c:v>
                </c:pt>
                <c:pt idx="18">
                  <c:v>86.030784373862758</c:v>
                </c:pt>
                <c:pt idx="19">
                  <c:v>83.803051596342385</c:v>
                </c:pt>
                <c:pt idx="20">
                  <c:v>81.575318818821998</c:v>
                </c:pt>
                <c:pt idx="21">
                  <c:v>81.125004807796927</c:v>
                </c:pt>
                <c:pt idx="22">
                  <c:v>80.67469079677187</c:v>
                </c:pt>
                <c:pt idx="23">
                  <c:v>81.719547745424364</c:v>
                </c:pt>
                <c:pt idx="24">
                  <c:v>82.764404694076859</c:v>
                </c:pt>
                <c:pt idx="25">
                  <c:v>84.972512427061133</c:v>
                </c:pt>
                <c:pt idx="26">
                  <c:v>87.180620160045422</c:v>
                </c:pt>
                <c:pt idx="27">
                  <c:v>90.183801797407654</c:v>
                </c:pt>
                <c:pt idx="28">
                  <c:v>93.1869834347699</c:v>
                </c:pt>
                <c:pt idx="29">
                  <c:v>96.59349171738495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C4-4205-8FFB-2FA26DF0B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057599"/>
        <c:axId val="1669053023"/>
      </c:scatterChart>
      <c:valAx>
        <c:axId val="1669057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9053023"/>
        <c:crosses val="autoZero"/>
        <c:crossBetween val="midCat"/>
      </c:valAx>
      <c:valAx>
        <c:axId val="166905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9057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530677</xdr:colOff>
      <xdr:row>16</xdr:row>
      <xdr:rowOff>50346</xdr:rowOff>
    </xdr:from>
    <xdr:to>
      <xdr:col>22</xdr:col>
      <xdr:colOff>122465</xdr:colOff>
      <xdr:row>49</xdr:row>
      <xdr:rowOff>131990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zoomScale="70" zoomScaleNormal="70" workbookViewId="0">
      <selection activeCell="J6" sqref="J6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v>3.0000000000000001E-3</v>
      </c>
    </row>
    <row r="5" spans="2:36" x14ac:dyDescent="0.25">
      <c r="B5" s="1" t="s">
        <v>2</v>
      </c>
      <c r="C5" s="6">
        <f>(C9*C8*C4^2)/(2*C10)</f>
        <v>0.35100000000000003</v>
      </c>
    </row>
    <row r="6" spans="2:36" x14ac:dyDescent="0.25">
      <c r="B6" s="1" t="s">
        <v>3</v>
      </c>
      <c r="C6" s="1">
        <v>60</v>
      </c>
      <c r="D6">
        <v>60.021000000000008</v>
      </c>
    </row>
    <row r="7" spans="2:36" x14ac:dyDescent="0.25">
      <c r="B7" s="2"/>
      <c r="C7" s="2"/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3">
        <v>1</v>
      </c>
      <c r="G11" s="3">
        <v>2</v>
      </c>
      <c r="H11" s="3">
        <v>3</v>
      </c>
      <c r="I11" s="3">
        <v>4</v>
      </c>
      <c r="J11" s="3">
        <v>5</v>
      </c>
      <c r="K11" s="3">
        <v>6</v>
      </c>
      <c r="L11" s="3">
        <v>7</v>
      </c>
      <c r="M11" s="3">
        <v>8</v>
      </c>
      <c r="N11" s="3">
        <v>9</v>
      </c>
      <c r="O11" s="3">
        <v>10</v>
      </c>
      <c r="P11" s="3">
        <v>11</v>
      </c>
      <c r="Q11" s="3">
        <v>12</v>
      </c>
      <c r="R11" s="3">
        <v>13</v>
      </c>
      <c r="S11" s="3">
        <v>14</v>
      </c>
      <c r="T11" s="3">
        <v>15</v>
      </c>
      <c r="U11" s="3">
        <v>16</v>
      </c>
      <c r="V11" s="3">
        <v>17</v>
      </c>
      <c r="W11" s="3">
        <v>18</v>
      </c>
      <c r="X11" s="3">
        <v>19</v>
      </c>
      <c r="Y11" s="3">
        <v>20</v>
      </c>
      <c r="Z11" s="3">
        <v>21</v>
      </c>
      <c r="AA11" s="3">
        <v>22</v>
      </c>
      <c r="AB11" s="3">
        <v>23</v>
      </c>
      <c r="AC11" s="3">
        <v>24</v>
      </c>
      <c r="AD11" s="3">
        <v>25</v>
      </c>
      <c r="AE11" s="3">
        <v>26</v>
      </c>
      <c r="AF11" s="3">
        <v>27</v>
      </c>
      <c r="AG11" s="3">
        <v>28</v>
      </c>
      <c r="AH11" s="3">
        <v>29</v>
      </c>
      <c r="AI11" s="3">
        <v>30</v>
      </c>
      <c r="AJ11" s="3">
        <v>31</v>
      </c>
    </row>
    <row r="12" spans="2:36" x14ac:dyDescent="0.25">
      <c r="B12" s="1" t="s">
        <v>7</v>
      </c>
      <c r="C12" s="1">
        <v>300</v>
      </c>
      <c r="E12" s="4" t="s">
        <v>0</v>
      </c>
      <c r="F12" s="5">
        <v>0</v>
      </c>
      <c r="G12" s="5">
        <f>F12+$C$4</f>
        <v>3.0000000000000001E-3</v>
      </c>
      <c r="H12" s="5">
        <f t="shared" ref="H12:AJ12" si="0">G12+$C$4</f>
        <v>6.0000000000000001E-3</v>
      </c>
      <c r="I12" s="5">
        <f t="shared" si="0"/>
        <v>9.0000000000000011E-3</v>
      </c>
      <c r="J12" s="5">
        <f t="shared" si="0"/>
        <v>1.2E-2</v>
      </c>
      <c r="K12" s="5">
        <f t="shared" si="0"/>
        <v>1.4999999999999999E-2</v>
      </c>
      <c r="L12" s="5">
        <f t="shared" si="0"/>
        <v>1.7999999999999999E-2</v>
      </c>
      <c r="M12" s="5">
        <f t="shared" si="0"/>
        <v>2.0999999999999998E-2</v>
      </c>
      <c r="N12" s="5">
        <f t="shared" si="0"/>
        <v>2.3999999999999997E-2</v>
      </c>
      <c r="O12" s="5">
        <f t="shared" si="0"/>
        <v>2.6999999999999996E-2</v>
      </c>
      <c r="P12" s="5">
        <f t="shared" si="0"/>
        <v>2.9999999999999995E-2</v>
      </c>
      <c r="Q12" s="5">
        <f t="shared" si="0"/>
        <v>3.2999999999999995E-2</v>
      </c>
      <c r="R12" s="5">
        <f t="shared" si="0"/>
        <v>3.5999999999999997E-2</v>
      </c>
      <c r="S12" s="5">
        <f t="shared" si="0"/>
        <v>3.9E-2</v>
      </c>
      <c r="T12" s="5">
        <f t="shared" si="0"/>
        <v>4.2000000000000003E-2</v>
      </c>
      <c r="U12" s="5">
        <f t="shared" si="0"/>
        <v>4.5000000000000005E-2</v>
      </c>
      <c r="V12" s="5">
        <f t="shared" si="0"/>
        <v>4.8000000000000008E-2</v>
      </c>
      <c r="W12" s="5">
        <f t="shared" si="0"/>
        <v>5.1000000000000011E-2</v>
      </c>
      <c r="X12" s="5">
        <f t="shared" si="0"/>
        <v>5.4000000000000013E-2</v>
      </c>
      <c r="Y12" s="5">
        <f t="shared" si="0"/>
        <v>5.7000000000000016E-2</v>
      </c>
      <c r="Z12" s="5">
        <f t="shared" si="0"/>
        <v>6.0000000000000019E-2</v>
      </c>
      <c r="AA12" s="5">
        <f t="shared" si="0"/>
        <v>6.3000000000000014E-2</v>
      </c>
      <c r="AB12" s="5">
        <f t="shared" si="0"/>
        <v>6.6000000000000017E-2</v>
      </c>
      <c r="AC12" s="5">
        <f t="shared" si="0"/>
        <v>6.900000000000002E-2</v>
      </c>
      <c r="AD12" s="5">
        <f t="shared" si="0"/>
        <v>7.2000000000000022E-2</v>
      </c>
      <c r="AE12" s="5">
        <f t="shared" si="0"/>
        <v>7.5000000000000025E-2</v>
      </c>
      <c r="AF12" s="5">
        <f t="shared" si="0"/>
        <v>7.8000000000000028E-2</v>
      </c>
      <c r="AG12" s="5">
        <f t="shared" si="0"/>
        <v>8.100000000000003E-2</v>
      </c>
      <c r="AH12" s="5">
        <f t="shared" si="0"/>
        <v>8.4000000000000033E-2</v>
      </c>
      <c r="AI12" s="5">
        <f t="shared" si="0"/>
        <v>8.7000000000000036E-2</v>
      </c>
      <c r="AJ12" s="5">
        <f t="shared" si="0"/>
        <v>9.0000000000000038E-2</v>
      </c>
    </row>
    <row r="13" spans="2:36" x14ac:dyDescent="0.25">
      <c r="B13" s="1" t="s">
        <v>8</v>
      </c>
      <c r="C13" s="1">
        <v>100</v>
      </c>
      <c r="E13" s="4" t="s">
        <v>9</v>
      </c>
      <c r="F13" s="4">
        <v>300</v>
      </c>
      <c r="G13" s="4">
        <v>282.66377172728278</v>
      </c>
      <c r="H13" s="4">
        <v>265.32754345456556</v>
      </c>
      <c r="I13" s="4">
        <v>248.49776479269764</v>
      </c>
      <c r="J13" s="4">
        <v>231.66798613082975</v>
      </c>
      <c r="K13" s="4">
        <v>215.82169488848717</v>
      </c>
      <c r="L13" s="4">
        <v>199.97540364614463</v>
      </c>
      <c r="M13" s="4">
        <v>185.53348681229556</v>
      </c>
      <c r="N13" s="4">
        <v>171.0915699784465</v>
      </c>
      <c r="O13" s="4">
        <v>158.39696417128559</v>
      </c>
      <c r="P13" s="4">
        <v>145.70235836412468</v>
      </c>
      <c r="Q13" s="4">
        <v>135.00473094993319</v>
      </c>
      <c r="R13" s="4">
        <v>124.30710353574172</v>
      </c>
      <c r="S13" s="4">
        <v>115.75466120528034</v>
      </c>
      <c r="T13" s="4">
        <v>107.20221887481898</v>
      </c>
      <c r="U13" s="4">
        <v>100.84040238417727</v>
      </c>
      <c r="V13" s="4">
        <v>94.478585893535552</v>
      </c>
      <c r="W13" s="4">
        <v>90.254685133699155</v>
      </c>
      <c r="X13" s="4">
        <v>86.030784373862758</v>
      </c>
      <c r="Y13" s="4">
        <v>83.803051596342385</v>
      </c>
      <c r="Z13" s="4">
        <v>81.575318818821998</v>
      </c>
      <c r="AA13" s="4">
        <v>81.125004807796927</v>
      </c>
      <c r="AB13" s="4">
        <v>80.67469079677187</v>
      </c>
      <c r="AC13" s="4">
        <v>81.719547745424364</v>
      </c>
      <c r="AD13" s="4">
        <v>82.764404694076859</v>
      </c>
      <c r="AE13" s="4">
        <v>84.972512427061133</v>
      </c>
      <c r="AF13" s="4">
        <v>87.180620160045422</v>
      </c>
      <c r="AG13" s="4">
        <v>90.183801797407654</v>
      </c>
      <c r="AH13" s="4">
        <v>93.1869834347699</v>
      </c>
      <c r="AI13" s="4">
        <v>96.59349171738495</v>
      </c>
      <c r="AJ13" s="4">
        <v>100</v>
      </c>
    </row>
    <row r="15" spans="2:36" x14ac:dyDescent="0.25">
      <c r="E15" t="s">
        <v>10</v>
      </c>
      <c r="G15">
        <f>G13+(($C$10*$C$5)/($C$9*$C$8))*((H13-2*G13+F13)/($C$4^2))</f>
        <v>282.66377172728278</v>
      </c>
      <c r="H15">
        <f t="shared" ref="H15:AI15" si="1">H13+(($C$10*$C$5)/($C$9*$C$8))*((I13-2*H13+G13)/($C$4^2))</f>
        <v>265.58076825999024</v>
      </c>
      <c r="I15">
        <f t="shared" si="1"/>
        <v>248.49776479269764</v>
      </c>
      <c r="J15">
        <f t="shared" si="1"/>
        <v>232.15972984059241</v>
      </c>
      <c r="K15">
        <f t="shared" si="1"/>
        <v>215.82169488848717</v>
      </c>
      <c r="L15">
        <f t="shared" si="1"/>
        <v>200.67759085039137</v>
      </c>
      <c r="M15">
        <f t="shared" si="1"/>
        <v>185.53348681229556</v>
      </c>
      <c r="N15">
        <f t="shared" si="1"/>
        <v>171.96522549179059</v>
      </c>
      <c r="O15">
        <f t="shared" si="1"/>
        <v>158.39696417128559</v>
      </c>
      <c r="P15">
        <f t="shared" si="1"/>
        <v>146.70084756060939</v>
      </c>
      <c r="Q15">
        <f t="shared" si="1"/>
        <v>135.00473094993319</v>
      </c>
      <c r="R15">
        <f t="shared" si="1"/>
        <v>125.37969607760677</v>
      </c>
      <c r="S15">
        <f t="shared" si="1"/>
        <v>115.75466120528034</v>
      </c>
      <c r="T15">
        <f t="shared" si="1"/>
        <v>108.2975317947288</v>
      </c>
      <c r="U15">
        <f t="shared" si="1"/>
        <v>100.84040238417727</v>
      </c>
      <c r="V15">
        <f t="shared" si="1"/>
        <v>95.547543758938218</v>
      </c>
      <c r="W15">
        <f t="shared" si="1"/>
        <v>90.254685133699155</v>
      </c>
      <c r="X15">
        <f t="shared" si="1"/>
        <v>87.02886836502077</v>
      </c>
      <c r="Y15">
        <f t="shared" si="1"/>
        <v>83.803051596342385</v>
      </c>
      <c r="Z15">
        <f t="shared" si="1"/>
        <v>82.464028202069656</v>
      </c>
      <c r="AA15">
        <f t="shared" si="1"/>
        <v>81.125004807796927</v>
      </c>
      <c r="AB15">
        <f t="shared" si="1"/>
        <v>81.422276276610646</v>
      </c>
      <c r="AC15">
        <f t="shared" si="1"/>
        <v>81.719547745424364</v>
      </c>
      <c r="AD15">
        <f t="shared" si="1"/>
        <v>83.346030086242749</v>
      </c>
      <c r="AE15">
        <f t="shared" si="1"/>
        <v>84.972512427061133</v>
      </c>
      <c r="AF15">
        <f t="shared" si="1"/>
        <v>87.578157112234393</v>
      </c>
      <c r="AG15">
        <f t="shared" si="1"/>
        <v>90.183801797407654</v>
      </c>
      <c r="AH15">
        <f t="shared" si="1"/>
        <v>93.388646757396302</v>
      </c>
      <c r="AI15">
        <f t="shared" si="1"/>
        <v>96.59349171738495</v>
      </c>
    </row>
  </sheetData>
  <conditionalFormatting sqref="F13:AJ13">
    <cfRule type="colorScale" priority="1">
      <colorScale>
        <cfvo type="min"/>
        <cfvo type="percentile" val="50"/>
        <cfvo type="max"/>
        <color theme="8"/>
        <color rgb="FFFFEB84"/>
        <color rgb="FFC0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2021-09-14T12:31:28Z</dcterms:created>
  <dcterms:modified xsi:type="dcterms:W3CDTF">2021-09-14T13:37:40Z</dcterms:modified>
</cp:coreProperties>
</file>